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nis90-my.sharepoint.com/personal/elodie_saudrais_aconis_fr/Documents/Process/SDS Biocompatibility Screener/"/>
    </mc:Choice>
  </mc:AlternateContent>
  <xr:revisionPtr revIDLastSave="16" documentId="8_{5648403F-5384-4CB1-A1CD-D5CFF309945B}" xr6:coauthVersionLast="47" xr6:coauthVersionMax="47" xr10:uidLastSave="{193202E5-3D6C-460D-A704-9B7FF3709EC7}"/>
  <bookViews>
    <workbookView xWindow="-120" yWindow="-120" windowWidth="38640" windowHeight="21120" xr2:uid="{B921B101-B933-4381-B033-35FCA2520C75}"/>
  </bookViews>
  <sheets>
    <sheet name="Project" sheetId="22" r:id="rId1"/>
    <sheet name="SDS Dashboard" sheetId="9" r:id="rId2"/>
    <sheet name="SDS Analysi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9" l="1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3" i="9"/>
  <c r="H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3" i="9"/>
  <c r="E8" i="9" l="1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H6" i="9"/>
  <c r="E3" i="9"/>
  <c r="A11" i="9"/>
  <c r="B11" i="9"/>
  <c r="C11" i="9"/>
  <c r="D11" i="9"/>
  <c r="E11" i="9"/>
  <c r="H11" i="9"/>
  <c r="I11" i="9"/>
  <c r="J11" i="9"/>
  <c r="A4" i="9"/>
  <c r="B4" i="9"/>
  <c r="C4" i="9"/>
  <c r="D4" i="9"/>
  <c r="E4" i="9"/>
  <c r="H4" i="9"/>
  <c r="I4" i="9"/>
  <c r="J4" i="9"/>
  <c r="A5" i="9"/>
  <c r="B5" i="9"/>
  <c r="C5" i="9"/>
  <c r="D5" i="9"/>
  <c r="E5" i="9"/>
  <c r="H5" i="9"/>
  <c r="I5" i="9"/>
  <c r="J5" i="9"/>
  <c r="A6" i="9"/>
  <c r="B6" i="9"/>
  <c r="C6" i="9"/>
  <c r="D6" i="9"/>
  <c r="E6" i="9"/>
  <c r="I6" i="9"/>
  <c r="J6" i="9"/>
  <c r="A7" i="9"/>
  <c r="B7" i="9"/>
  <c r="C7" i="9"/>
  <c r="D7" i="9"/>
  <c r="E7" i="9"/>
  <c r="H7" i="9"/>
  <c r="I7" i="9"/>
  <c r="J7" i="9"/>
  <c r="A8" i="9"/>
  <c r="B8" i="9"/>
  <c r="C8" i="9"/>
  <c r="D8" i="9"/>
  <c r="H8" i="9"/>
  <c r="I8" i="9"/>
  <c r="J8" i="9"/>
  <c r="A9" i="9"/>
  <c r="B9" i="9"/>
  <c r="C9" i="9"/>
  <c r="D9" i="9"/>
  <c r="E9" i="9"/>
  <c r="H9" i="9"/>
  <c r="I9" i="9"/>
  <c r="J9" i="9"/>
  <c r="A10" i="9"/>
  <c r="B10" i="9"/>
  <c r="C10" i="9"/>
  <c r="D10" i="9"/>
  <c r="E10" i="9"/>
  <c r="H10" i="9"/>
  <c r="I10" i="9"/>
  <c r="J10" i="9"/>
  <c r="A3" i="9"/>
  <c r="B3" i="9"/>
  <c r="C3" i="9"/>
  <c r="D3" i="9"/>
  <c r="I3" i="9"/>
  <c r="J3" i="9"/>
</calcChain>
</file>

<file path=xl/sharedStrings.xml><?xml version="1.0" encoding="utf-8"?>
<sst xmlns="http://schemas.openxmlformats.org/spreadsheetml/2006/main" count="51" uniqueCount="43">
  <si>
    <t>IDENTIFICATION</t>
  </si>
  <si>
    <t>COMPOSITION</t>
  </si>
  <si>
    <t>BIOLOGICAL EFFECTS — ISO 10993-1:2025</t>
  </si>
  <si>
    <t>REGULATORY COMPLIANCE</t>
  </si>
  <si>
    <t>CONCLUSIONS</t>
  </si>
  <si>
    <t>ADMIN</t>
  </si>
  <si>
    <t>SDS ID</t>
  </si>
  <si>
    <t>Product Name</t>
  </si>
  <si>
    <t>Supplier</t>
  </si>
  <si>
    <t>SDS Date</t>
  </si>
  <si>
    <t>Composition (declared §3 + substances for information)</t>
  </si>
  <si>
    <t>Cytotoxicity</t>
  </si>
  <si>
    <t>Sensitisation</t>
  </si>
  <si>
    <t>Skin irritation / Intracutaneous reactivity</t>
  </si>
  <si>
    <t>Eye irritation</t>
  </si>
  <si>
    <t>Acute systemic toxicity</t>
  </si>
  <si>
    <t>Sub-acute / Sub-chronic toxicity</t>
  </si>
  <si>
    <t>Chronic toxicity / Repeated dose</t>
  </si>
  <si>
    <t>Genotoxicity / Mutagenicity</t>
  </si>
  <si>
    <t>Carcinogenicity</t>
  </si>
  <si>
    <t>Reproductive / Developmental toxicity</t>
  </si>
  <si>
    <t>Endocrine disruption</t>
  </si>
  <si>
    <t>Bioaccumulation</t>
  </si>
  <si>
    <t>Haemocompatibility</t>
  </si>
  <si>
    <t>Pyrogenicity (material-mediated)</t>
  </si>
  <si>
    <t>Implantation</t>
  </si>
  <si>
    <t>Immune responses / Immunotoxicity</t>
  </si>
  <si>
    <t>Other biological effects</t>
  </si>
  <si>
    <t>CMR regulatory status</t>
  </si>
  <si>
    <t>Azo dyes / Aromatic amines</t>
  </si>
  <si>
    <t>Formaldehyde</t>
  </si>
  <si>
    <t>Heavy metals</t>
  </si>
  <si>
    <t>REACH / SVHC compliance</t>
  </si>
  <si>
    <t>ALERT LEVEL</t>
  </si>
  <si>
    <t>Alert Justification</t>
  </si>
  <si>
    <t>Toxicologist Comment</t>
  </si>
  <si>
    <t>Analysis Date</t>
  </si>
  <si>
    <t>Analyst</t>
  </si>
  <si>
    <t>Row Status</t>
  </si>
  <si>
    <t>BIOCOMPATIBILITY SCREENING — DASHBOARD</t>
  </si>
  <si>
    <t>#</t>
  </si>
  <si>
    <t>Alert Justification (summary)</t>
  </si>
  <si>
    <t>CORRECTED ALERT LEVEL (based on toxicologist input and specific 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</si>
</sst>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809]mmm\ d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0"/>
      <name val="Arial"/>
      <family val="2"/>
    </font>
    <font>
      <b/>
      <sz val="11"/>
      <color theme="0"/>
      <name val="Segoe UI Light"/>
      <family val="2"/>
    </font>
    <font>
      <b/>
      <sz val="11"/>
      <color theme="1"/>
      <name val="Segoe UI Light"/>
      <family val="2"/>
    </font>
    <font>
      <b/>
      <sz val="16"/>
      <color rgb="FF007AFF"/>
      <name val="Segoe UI Light"/>
      <family val="2"/>
    </font>
    <font>
      <sz val="10"/>
      <color theme="1"/>
      <name val="Segoe UI Light"/>
      <family val="2"/>
    </font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AFF"/>
        <bgColor indexed="64"/>
      </patternFill>
    </fill>
    <fill>
      <patternFill patternType="solid">
        <fgColor rgb="FFC5E1F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5">
    <xf numFmtId="0" fontId="0" fillId="0" borderId="0"/>
    <xf numFmtId="0" fontId="2" fillId="0" borderId="0"/>
    <xf numFmtId="0" fontId="7" fillId="0" borderId="0"/>
    <xf numFmtId="0" fontId="8" fillId="0" borderId="0"/>
    <xf numFmtId="0" fontId="9" fillId="0" borderId="0" applyFill="0" applyProtection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4" fontId="6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14" fontId="6" fillId="3" borderId="0" xfId="0" applyNumberFormat="1" applyFont="1" applyFill="1" applyAlignment="1">
      <alignment horizontal="left" vertical="top" wrapText="1"/>
    </xf>
    <xf numFmtId="164" fontId="6" fillId="3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CB61C9C7-20DC-4E54-BDD5-3AE33E2B504D}"/>
    <cellStyle name="Normal 3" xfId="2" xr:uid="{DF6E7A70-ABE1-4338-A89A-4D0232DCEED5}"/>
    <cellStyle name="Normal 4" xfId="3" xr:uid="{532F139F-BFFE-4567-94E0-7346D7B61D9A}"/>
    <cellStyle name="Normal 5" xfId="4" xr:uid="{B6F2A95A-B4B3-45B4-AB01-72EFC6B1F21D}"/>
  </cellStyles>
  <dxfs count="116">
    <dxf>
      <font>
        <color theme="0"/>
      </font>
      <fill>
        <patternFill>
          <bgColor rgb="FF80808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8C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 val="0"/>
        <i/>
      </font>
      <fill>
        <patternFill>
          <bgColor rgb="FFFFF2CC"/>
        </patternFill>
      </fill>
    </dxf>
    <dxf>
      <font>
        <color theme="0"/>
      </font>
      <fill>
        <patternFill>
          <bgColor rgb="FF80808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8C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80808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8C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64" formatCode="[$-809]mmm\ dd\,\ yyyy;@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9" formatCode="dd/mm/yyyy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64" formatCode="[$-809]mmm\ dd\,\ yyyy;@"/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fill>
        <patternFill patternType="solid">
          <fgColor indexed="64"/>
          <bgColor rgb="FFC5E1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fill>
        <patternFill patternType="solid">
          <fgColor indexed="64"/>
          <bgColor rgb="FF007AFF"/>
        </patternFill>
      </fill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007AFF"/>
        </patternFill>
      </fill>
      <border>
        <vertical style="thin">
          <color theme="0"/>
        </vertical>
      </border>
    </dxf>
    <dxf>
      <border>
        <left style="thin">
          <color rgb="FF007AFF"/>
        </left>
        <right style="thin">
          <color rgb="FF007AFF"/>
        </right>
        <top style="thin">
          <color rgb="FF007AFF"/>
        </top>
        <bottom style="thin">
          <color rgb="FF007AFF"/>
        </bottom>
        <vertical style="thin">
          <color rgb="FF007AFF"/>
        </vertical>
        <horizontal style="thin">
          <color rgb="FF007AFF"/>
        </horizontal>
      </border>
    </dxf>
  </dxfs>
  <tableStyles count="1" defaultTableStyle="TableStyleMedium2" defaultPivotStyle="PivotStyleLight16">
    <tableStyle name="Style de tableau 1" pivot="0" count="2" xr9:uid="{2F5759AC-1E1B-454B-924E-CC612561A75B}">
      <tableStyleElement type="wholeTable" dxfId="115"/>
      <tableStyleElement type="headerRow" dxfId="114"/>
    </tableStyle>
  </tableStyles>
  <colors>
    <mruColors>
      <color rgb="FF007AFF"/>
      <color rgb="FFC5E1FF"/>
      <color rgb="FFFFF2CC"/>
      <color rgb="FFFFFDE6"/>
      <color rgb="FFFFF2E6"/>
      <color rgb="FFFFE6E6"/>
      <color rgb="FF808080"/>
      <color rgb="FF00B050"/>
      <color rgb="FFFFC000"/>
      <color rgb="FFFF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CF959E-B2A8-4F6B-9098-68F5837A0D5C}" name="Tableau5" displayName="Tableau5" ref="A2:J25" totalsRowShown="0" headerRowDxfId="42" dataDxfId="41" totalsRowDxfId="40">
  <autoFilter ref="A2:J25" xr:uid="{63CF959E-B2A8-4F6B-9098-68F5837A0D5C}"/>
  <tableColumns count="10">
    <tableColumn id="1" xr3:uid="{2AE54193-5326-481B-90F9-C30CAD8F1D2A}" name="#" dataDxfId="39" totalsRowDxfId="38">
      <calculatedColumnFormula>ROW()-2</calculatedColumnFormula>
    </tableColumn>
    <tableColumn id="2" xr3:uid="{DA3B4C02-7CE4-40C2-8093-891A27DF4936}" name="SDS ID" dataDxfId="37" totalsRowDxfId="36">
      <calculatedColumnFormula>'SDS Analysis'!$A3</calculatedColumnFormula>
    </tableColumn>
    <tableColumn id="3" xr3:uid="{30818314-8554-474F-BBAA-D5F20CB34EF2}" name="Product Name" dataDxfId="35" totalsRowDxfId="34">
      <calculatedColumnFormula>'SDS Analysis'!$B3</calculatedColumnFormula>
    </tableColumn>
    <tableColumn id="4" xr3:uid="{1785200C-E995-48EE-B945-8F0B41F8A592}" name="Supplier" dataDxfId="33" totalsRowDxfId="32">
      <calculatedColumnFormula>'SDS Analysis'!$C3</calculatedColumnFormula>
    </tableColumn>
    <tableColumn id="5" xr3:uid="{1B37C8D6-F617-4ACC-97D9-549235C0BEE9}" name="SDS Date" dataDxfId="31" totalsRowDxfId="30">
      <calculatedColumnFormula>'SDS Analysis'!$D3</calculatedColumnFormula>
    </tableColumn>
    <tableColumn id="6" xr3:uid="{23506D70-FD32-490E-A17A-C4011F188262}" name="ALERT LEVEL" dataDxfId="29" totalsRowDxfId="28">
      <calculatedColumnFormula>'SDS Analysis'!$AE3</calculatedColumnFormula>
    </tableColumn>
    <tableColumn id="7" xr3:uid="{9AD6F814-29A0-4F80-BBCD-43B0A40C48D3}" name="Alert Justification (summary)" dataDxfId="27" totalsRowDxfId="26">
      <calculatedColumnFormula>'SDS Analysis'!$AC3 &amp; IF('SDS Analysis'!$AD3&lt;&gt;"", CHAR(10) &amp; CHAR(10) &amp; "Toxicologist comment: " &amp; 'SDS Analysis'!$AD3, "")</calculatedColumnFormula>
    </tableColumn>
    <tableColumn id="8" xr3:uid="{FDEA77A4-3680-4BB9-91C4-0023943C97E8}" name="Analysis Date" dataDxfId="25" totalsRowDxfId="24">
      <calculatedColumnFormula>'SDS Analysis'!$AF3</calculatedColumnFormula>
    </tableColumn>
    <tableColumn id="9" xr3:uid="{1917AD02-3FFE-4D2A-B8E5-552E4B2E881E}" name="Analyst" dataDxfId="23" totalsRowDxfId="22">
      <calculatedColumnFormula>'SDS Analysis'!$AG3</calculatedColumnFormula>
    </tableColumn>
    <tableColumn id="10" xr3:uid="{4325FAE7-B4B2-4F5F-93D9-1D620294AE26}" name="Row Status" dataDxfId="21" totalsRowDxfId="20">
      <calculatedColumnFormula>'SDS Analysis'!$AH3</calculatedColumnFormula>
    </tableColumn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F6ABF-7A3D-4EE4-8D12-8B3E743E3E7D}" name="Tableau4" displayName="Tableau4" ref="A2:AH3" insertRow="1" totalsRowShown="0" headerRowDxfId="113" dataDxfId="112" totalsRowDxfId="111">
  <autoFilter ref="A2:AH3" xr:uid="{E83F6ABF-7A3D-4EE4-8D12-8B3E743E3E7D}"/>
  <tableColumns count="34">
    <tableColumn id="1" xr3:uid="{4134B135-8604-419A-8A9A-50D4471A4E89}" name="SDS ID" dataDxfId="110" totalsRowDxfId="109"/>
    <tableColumn id="2" xr3:uid="{39709B09-3AF4-45C8-BA55-DF827301A12D}" name="Product Name" dataDxfId="108" totalsRowDxfId="107"/>
    <tableColumn id="3" xr3:uid="{75F76051-867D-498E-BD94-7F9C87A76032}" name="Supplier" dataDxfId="106" totalsRowDxfId="105"/>
    <tableColumn id="5" xr3:uid="{827362EE-38C7-4330-BC15-6056382DD99A}" name="SDS Date" dataDxfId="104" totalsRowDxfId="103"/>
    <tableColumn id="6" xr3:uid="{0787074F-7004-4830-8E6F-99A07B58D49C}" name="Composition (declared §3 + substances for information)" dataDxfId="102" totalsRowDxfId="101"/>
    <tableColumn id="7" xr3:uid="{BECED353-2DA6-4F7B-8FC1-7B2BE078608B}" name="Cytotoxicity" dataDxfId="100" totalsRowDxfId="99"/>
    <tableColumn id="8" xr3:uid="{BCBA4064-897D-47D7-A8B8-BB4A5ADF2BA4}" name="Sensitisation" dataDxfId="98" totalsRowDxfId="97"/>
    <tableColumn id="9" xr3:uid="{E61E817C-9B79-4C7C-8826-E48372C4BD26}" name="Skin irritation / Intracutaneous reactivity" dataDxfId="96" totalsRowDxfId="95"/>
    <tableColumn id="10" xr3:uid="{FACEE5AF-1CD1-47B5-A78E-23C7E3E77133}" name="Eye irritation" dataDxfId="94" totalsRowDxfId="93"/>
    <tableColumn id="11" xr3:uid="{DDA9EEBD-76F9-404F-A8C3-5DBB7177429C}" name="Acute systemic toxicity" dataDxfId="92" totalsRowDxfId="91"/>
    <tableColumn id="12" xr3:uid="{68CB0BD9-0A7B-4BAB-A99E-44B4E6F3996E}" name="Sub-acute / Sub-chronic toxicity" dataDxfId="90" totalsRowDxfId="89"/>
    <tableColumn id="13" xr3:uid="{768F1DB5-22A4-4F35-98E5-2C7F2A169E40}" name="Chronic toxicity / Repeated dose" dataDxfId="88" totalsRowDxfId="87"/>
    <tableColumn id="14" xr3:uid="{3ECF169A-09F3-4DDB-A362-67EE1D83D84F}" name="Genotoxicity / Mutagenicity" dataDxfId="86" totalsRowDxfId="85"/>
    <tableColumn id="15" xr3:uid="{5F1315D8-269A-412A-8C1E-0EA047E9F3E3}" name="Carcinogenicity" dataDxfId="84" totalsRowDxfId="83"/>
    <tableColumn id="16" xr3:uid="{FD7620C9-1A21-4B5F-B968-207A983F0CB3}" name="Reproductive / Developmental toxicity" dataDxfId="82" totalsRowDxfId="81"/>
    <tableColumn id="17" xr3:uid="{03D9B0B1-66F2-4468-8920-7BCB4A5F55D8}" name="Endocrine disruption" dataDxfId="80" totalsRowDxfId="79"/>
    <tableColumn id="18" xr3:uid="{5560B1F7-2F56-4573-8439-34B13ED80552}" name="Bioaccumulation" dataDxfId="78" totalsRowDxfId="77"/>
    <tableColumn id="19" xr3:uid="{B220B534-19FA-4211-AE00-3DC50B7245D0}" name="Haemocompatibility" dataDxfId="76" totalsRowDxfId="75"/>
    <tableColumn id="20" xr3:uid="{76700AEF-1928-40DF-B942-8AB71905411D}" name="Pyrogenicity (material-mediated)" dataDxfId="74" totalsRowDxfId="73"/>
    <tableColumn id="21" xr3:uid="{1FBFBF26-3CDA-4129-A251-F0AB8BAA7F71}" name="Implantation" dataDxfId="72" totalsRowDxfId="71"/>
    <tableColumn id="22" xr3:uid="{224EEF40-2957-4CE5-9868-2C388D75C10E}" name="Immune responses / Immunotoxicity" dataDxfId="70" totalsRowDxfId="69"/>
    <tableColumn id="23" xr3:uid="{325DD810-C142-4715-9489-9F1814A3AE9D}" name="Other biological effects" dataDxfId="68" totalsRowDxfId="67"/>
    <tableColumn id="24" xr3:uid="{6DF15ED8-6995-4989-A4FF-61BD717FA66A}" name="CMR regulatory status" dataDxfId="66" totalsRowDxfId="65"/>
    <tableColumn id="25" xr3:uid="{0AD45384-D04E-4B7B-AAE4-9EC503FCE0CA}" name="Azo dyes / Aromatic amines" dataDxfId="64" totalsRowDxfId="63"/>
    <tableColumn id="26" xr3:uid="{D493274D-F79B-43A2-B2F9-6E37CE4FB7C5}" name="Formaldehyde" dataDxfId="62" totalsRowDxfId="61"/>
    <tableColumn id="27" xr3:uid="{ECB8B9B4-4262-42BE-ABCB-64784FD65364}" name="Heavy metals" dataDxfId="60" totalsRowDxfId="59"/>
    <tableColumn id="28" xr3:uid="{C1B073BB-7098-4931-AF9B-180C3662EE48}" name="REACH / SVHC compliance" dataDxfId="58" totalsRowDxfId="57"/>
    <tableColumn id="29" xr3:uid="{3D9BD65A-79D9-4BE1-ACA3-2CEBAB4CB5FC}" name="ALERT LEVEL" dataDxfId="56" totalsRowDxfId="55">
      <calculatedColumnFormula>IF(COUNTIF(F3:AA3,"*🔴*")&gt;0,"CRITICAL",IF(COUNTIF(F3:AA3,"*🟠*")&gt;0,"MAJOR",IF(COUNTIF(F3:AA3,"*🟡*")&gt;0,"MINOR","NONE")))</calculatedColumnFormula>
    </tableColumn>
    <tableColumn id="30" xr3:uid="{56512371-E709-46C5-984F-60E234BA7456}" name="Alert Justification" dataDxfId="54" totalsRowDxfId="53"/>
    <tableColumn id="32" xr3:uid="{A4CBC205-D6D7-43D1-B8B4-83B2B3BA30BF}" name="Toxicologist Comment" dataDxfId="52" totalsRowDxfId="51"/>
    <tableColumn id="36" xr3:uid="{6FE6DE23-6361-47BB-B833-53C9D8D69EB9}" name="CORRECTED ALERT LEVEL (based on toxicologist input and specific context)" dataDxfId="50" totalsRowDxfId="49"/>
    <tableColumn id="33" xr3:uid="{7BF0AA72-8AED-4C15-B3BD-E3A99321D66D}" name="Analysis Date" dataDxfId="48" totalsRowDxfId="47"/>
    <tableColumn id="34" xr3:uid="{961C06CD-85FE-4898-A771-EA3B37675D12}" name="Analyst" dataDxfId="46" totalsRowDxfId="45"/>
    <tableColumn id="35" xr3:uid="{FD1348A3-6818-4839-8FFA-05F3AD5C3F9F}" name="Row Status" dataDxfId="44" totalsRowDxfId="43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DEA3-C3F2-4364-8DA5-C42872011949}">
  <sheetPr>
    <tabColor rgb="FF007AFF"/>
  </sheetPr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27C0-3B79-4FB3-A358-E8CFFC9585A4}">
  <sheetPr>
    <tabColor rgb="FF007AFF"/>
  </sheetPr>
  <dimension ref="A1:J41"/>
  <sheetViews>
    <sheetView zoomScale="70" zoomScaleNormal="70" workbookViewId="0">
      <selection activeCell="G4" sqref="G4"/>
    </sheetView>
  </sheetViews>
  <sheetFormatPr baseColWidth="10" defaultColWidth="9.140625" defaultRowHeight="16.5" x14ac:dyDescent="0.25"/>
  <cols>
    <col min="1" max="1" width="4.140625" style="1" customWidth="1"/>
    <col min="2" max="2" width="14.42578125" style="1" customWidth="1"/>
    <col min="3" max="4" width="10.42578125" style="1" customWidth="1"/>
    <col min="5" max="5" width="14.42578125" style="1" customWidth="1"/>
    <col min="6" max="6" width="10.42578125" style="1" customWidth="1"/>
    <col min="7" max="7" width="137.140625" style="1" customWidth="1"/>
    <col min="8" max="9" width="11.5703125" style="1" customWidth="1"/>
    <col min="10" max="10" width="11.28515625" style="1" customWidth="1"/>
    <col min="11" max="16384" width="9.140625" style="1"/>
  </cols>
  <sheetData>
    <row r="1" spans="1:10" s="4" customFormat="1" ht="25.5" x14ac:dyDescent="0.25">
      <c r="A1" s="3" t="s">
        <v>39</v>
      </c>
    </row>
    <row r="2" spans="1:10" s="2" customFormat="1" ht="33" x14ac:dyDescent="0.25">
      <c r="A2" s="2" t="s">
        <v>40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33</v>
      </c>
      <c r="G2" s="2" t="s">
        <v>41</v>
      </c>
      <c r="H2" s="2" t="s">
        <v>36</v>
      </c>
      <c r="I2" s="2" t="s">
        <v>37</v>
      </c>
      <c r="J2" s="2" t="s">
        <v>38</v>
      </c>
    </row>
    <row r="3" spans="1:10" ht="171" x14ac:dyDescent="0.25">
      <c r="A3" s="10">
        <f>ROW()-2</f>
        <v>1</v>
      </c>
      <c r="B3" s="11">
        <f>'SDS Analysis'!$A3</f>
        <v>0</v>
      </c>
      <c r="C3" s="11">
        <f>'SDS Analysis'!$B3</f>
        <v>0</v>
      </c>
      <c r="D3" s="11">
        <f>'SDS Analysis'!$C3</f>
        <v>0</v>
      </c>
      <c r="E3" s="13">
        <f>'SDS Analysis'!$D3</f>
        <v>0</v>
      </c>
      <c r="F3" s="5">
        <f>'SDS Analysis'!$AE3</f>
        <v>0</v>
      </c>
      <c r="G3" s="6" t="str">
        <f>'SDS Analysis'!$AC3 &amp; IF('SDS Analysis'!$AD3&lt;&gt;"", CHAR(10) &amp; CHAR(10) &amp; "Toxicologist comment: " &amp; 'SDS Analysis'!$AD3, "")</f>
        <v/>
      </c>
      <c r="H3" s="12">
        <f>'SDS Analysis'!$AF3</f>
        <v>0</v>
      </c>
      <c r="I3" s="11">
        <f>'SDS Analysis'!$AG3</f>
        <v>0</v>
      </c>
      <c r="J3" s="12">
        <f>'SDS Analysis'!$AH3</f>
        <v>0</v>
      </c>
    </row>
    <row r="4" spans="1:10" ht="228" x14ac:dyDescent="0.25">
      <c r="A4" s="10">
        <f t="shared" ref="A4:A10" si="0">ROW()-2</f>
        <v>2</v>
      </c>
      <c r="B4" s="11" t="e">
        <f>'SDS Analysis'!#REF!</f>
        <v>#REF!</v>
      </c>
      <c r="C4" s="11" t="e">
        <f>'SDS Analysis'!#REF!</f>
        <v>#REF!</v>
      </c>
      <c r="D4" s="11" t="e">
        <f>'SDS Analysis'!#REF!</f>
        <v>#REF!</v>
      </c>
      <c r="E4" s="13" t="e">
        <f>'SDS Analysis'!#REF!</f>
        <v>#REF!</v>
      </c>
      <c r="F4" s="5" t="e">
        <f>'SDS Analysis'!#REF!</f>
        <v>#REF!</v>
      </c>
      <c r="G4" s="6" t="e">
        <f>'SDS Analysis'!#REF! &amp; IF('SDS Analysis'!#REF!&lt;&gt;"", CHAR(10) &amp; CHAR(10) &amp; "Toxicologist comment: " &amp; 'SDS Analysis'!#REF!, "")</f>
        <v>#REF!</v>
      </c>
      <c r="H4" s="12" t="e">
        <f>'SDS Analysis'!#REF!</f>
        <v>#REF!</v>
      </c>
      <c r="I4" s="11" t="e">
        <f>'SDS Analysis'!#REF!</f>
        <v>#REF!</v>
      </c>
      <c r="J4" s="12" t="e">
        <f>'SDS Analysis'!#REF!</f>
        <v>#REF!</v>
      </c>
    </row>
    <row r="5" spans="1:10" ht="199.5" x14ac:dyDescent="0.25">
      <c r="A5" s="10">
        <f t="shared" si="0"/>
        <v>3</v>
      </c>
      <c r="B5" s="11" t="e">
        <f>'SDS Analysis'!#REF!</f>
        <v>#REF!</v>
      </c>
      <c r="C5" s="11" t="e">
        <f>'SDS Analysis'!#REF!</f>
        <v>#REF!</v>
      </c>
      <c r="D5" s="11" t="e">
        <f>'SDS Analysis'!#REF!</f>
        <v>#REF!</v>
      </c>
      <c r="E5" s="13" t="e">
        <f>'SDS Analysis'!#REF!</f>
        <v>#REF!</v>
      </c>
      <c r="F5" s="5" t="e">
        <f>'SDS Analysis'!#REF!</f>
        <v>#REF!</v>
      </c>
      <c r="G5" s="6" t="e">
        <f>'SDS Analysis'!#REF! &amp; IF('SDS Analysis'!#REF!&lt;&gt;"", CHAR(10) &amp; CHAR(10) &amp; "Toxicologist comment: " &amp; 'SDS Analysis'!#REF!, "")</f>
        <v>#REF!</v>
      </c>
      <c r="H5" s="12" t="e">
        <f>'SDS Analysis'!#REF!</f>
        <v>#REF!</v>
      </c>
      <c r="I5" s="11" t="e">
        <f>'SDS Analysis'!#REF!</f>
        <v>#REF!</v>
      </c>
      <c r="J5" s="12" t="e">
        <f>'SDS Analysis'!#REF!</f>
        <v>#REF!</v>
      </c>
    </row>
    <row r="6" spans="1:10" ht="342" x14ac:dyDescent="0.25">
      <c r="A6" s="10">
        <f t="shared" si="0"/>
        <v>4</v>
      </c>
      <c r="B6" s="11" t="e">
        <f>'SDS Analysis'!#REF!</f>
        <v>#REF!</v>
      </c>
      <c r="C6" s="11" t="e">
        <f>'SDS Analysis'!#REF!</f>
        <v>#REF!</v>
      </c>
      <c r="D6" s="11" t="e">
        <f>'SDS Analysis'!#REF!</f>
        <v>#REF!</v>
      </c>
      <c r="E6" s="13" t="e">
        <f>'SDS Analysis'!#REF!</f>
        <v>#REF!</v>
      </c>
      <c r="F6" s="5" t="e">
        <f>'SDS Analysis'!#REF!</f>
        <v>#REF!</v>
      </c>
      <c r="G6" s="6" t="e">
        <f>'SDS Analysis'!#REF! &amp; IF('SDS Analysis'!#REF!&lt;&gt;"", CHAR(10) &amp; CHAR(10) &amp; "Toxicologist comment: " &amp; 'SDS Analysis'!#REF!, "")</f>
        <v>#REF!</v>
      </c>
      <c r="H6" s="12" t="e">
        <f>'SDS Analysis'!#REF!</f>
        <v>#REF!</v>
      </c>
      <c r="I6" s="11" t="e">
        <f>'SDS Analysis'!#REF!</f>
        <v>#REF!</v>
      </c>
      <c r="J6" s="12" t="e">
        <f>'SDS Analysis'!#REF!</f>
        <v>#REF!</v>
      </c>
    </row>
    <row r="7" spans="1:10" ht="370.5" x14ac:dyDescent="0.25">
      <c r="A7" s="10">
        <f t="shared" si="0"/>
        <v>5</v>
      </c>
      <c r="B7" s="11" t="e">
        <f>'SDS Analysis'!#REF!</f>
        <v>#REF!</v>
      </c>
      <c r="C7" s="11" t="e">
        <f>'SDS Analysis'!#REF!</f>
        <v>#REF!</v>
      </c>
      <c r="D7" s="11" t="e">
        <f>'SDS Analysis'!#REF!</f>
        <v>#REF!</v>
      </c>
      <c r="E7" s="13" t="e">
        <f>'SDS Analysis'!#REF!</f>
        <v>#REF!</v>
      </c>
      <c r="F7" s="5" t="e">
        <f>'SDS Analysis'!#REF!</f>
        <v>#REF!</v>
      </c>
      <c r="G7" s="6" t="e">
        <f>'SDS Analysis'!#REF! &amp; IF('SDS Analysis'!#REF!&lt;&gt;"", CHAR(10) &amp; CHAR(10) &amp; "Toxicologist comment: " &amp; 'SDS Analysis'!#REF!, "")</f>
        <v>#REF!</v>
      </c>
      <c r="H7" s="12" t="e">
        <f>'SDS Analysis'!#REF!</f>
        <v>#REF!</v>
      </c>
      <c r="I7" s="11" t="e">
        <f>'SDS Analysis'!#REF!</f>
        <v>#REF!</v>
      </c>
      <c r="J7" s="12" t="e">
        <f>'SDS Analysis'!#REF!</f>
        <v>#REF!</v>
      </c>
    </row>
    <row r="8" spans="1:10" x14ac:dyDescent="0.25">
      <c r="A8" s="10">
        <f t="shared" si="0"/>
        <v>6</v>
      </c>
      <c r="B8" s="11" t="e">
        <f>'SDS Analysis'!#REF!</f>
        <v>#REF!</v>
      </c>
      <c r="C8" s="11" t="e">
        <f>'SDS Analysis'!#REF!</f>
        <v>#REF!</v>
      </c>
      <c r="D8" s="11" t="e">
        <f>'SDS Analysis'!#REF!</f>
        <v>#REF!</v>
      </c>
      <c r="E8" s="13" t="e">
        <f>'SDS Analysis'!#REF!</f>
        <v>#REF!</v>
      </c>
      <c r="F8" s="5" t="e">
        <f>'SDS Analysis'!#REF!</f>
        <v>#REF!</v>
      </c>
      <c r="G8" s="6" t="e">
        <f>'SDS Analysis'!#REF! &amp; IF('SDS Analysis'!#REF!&lt;&gt;"", CHAR(10) &amp; CHAR(10) &amp; "Toxicologist comment: " &amp; 'SDS Analysis'!#REF!, "")</f>
        <v>#REF!</v>
      </c>
      <c r="H8" s="12" t="e">
        <f>'SDS Analysis'!#REF!</f>
        <v>#REF!</v>
      </c>
      <c r="I8" s="11" t="e">
        <f>'SDS Analysis'!#REF!</f>
        <v>#REF!</v>
      </c>
      <c r="J8" s="12" t="e">
        <f>'SDS Analysis'!#REF!</f>
        <v>#REF!</v>
      </c>
    </row>
    <row r="9" spans="1:10" x14ac:dyDescent="0.25">
      <c r="A9" s="10">
        <f t="shared" si="0"/>
        <v>7</v>
      </c>
      <c r="B9" s="11" t="e">
        <f>'SDS Analysis'!#REF!</f>
        <v>#REF!</v>
      </c>
      <c r="C9" s="11" t="e">
        <f>'SDS Analysis'!#REF!</f>
        <v>#REF!</v>
      </c>
      <c r="D9" s="11" t="e">
        <f>'SDS Analysis'!#REF!</f>
        <v>#REF!</v>
      </c>
      <c r="E9" s="13" t="e">
        <f>'SDS Analysis'!#REF!</f>
        <v>#REF!</v>
      </c>
      <c r="F9" s="5" t="e">
        <f>'SDS Analysis'!#REF!</f>
        <v>#REF!</v>
      </c>
      <c r="G9" s="6" t="e">
        <f>'SDS Analysis'!#REF! &amp; IF('SDS Analysis'!#REF!&lt;&gt;"", CHAR(10) &amp; CHAR(10) &amp; "Toxicologist comment: " &amp; 'SDS Analysis'!#REF!, "")</f>
        <v>#REF!</v>
      </c>
      <c r="H9" s="12" t="e">
        <f>'SDS Analysis'!#REF!</f>
        <v>#REF!</v>
      </c>
      <c r="I9" s="11" t="e">
        <f>'SDS Analysis'!#REF!</f>
        <v>#REF!</v>
      </c>
      <c r="J9" s="12" t="e">
        <f>'SDS Analysis'!#REF!</f>
        <v>#REF!</v>
      </c>
    </row>
    <row r="10" spans="1:10" x14ac:dyDescent="0.25">
      <c r="A10" s="10">
        <f t="shared" si="0"/>
        <v>8</v>
      </c>
      <c r="B10" s="11" t="e">
        <f>'SDS Analysis'!#REF!</f>
        <v>#REF!</v>
      </c>
      <c r="C10" s="11" t="e">
        <f>'SDS Analysis'!#REF!</f>
        <v>#REF!</v>
      </c>
      <c r="D10" s="11" t="e">
        <f>'SDS Analysis'!#REF!</f>
        <v>#REF!</v>
      </c>
      <c r="E10" s="13" t="e">
        <f>'SDS Analysis'!#REF!</f>
        <v>#REF!</v>
      </c>
      <c r="F10" s="5" t="e">
        <f>'SDS Analysis'!#REF!</f>
        <v>#REF!</v>
      </c>
      <c r="G10" s="6" t="e">
        <f>'SDS Analysis'!#REF! &amp; IF('SDS Analysis'!#REF!&lt;&gt;"", CHAR(10) &amp; CHAR(10) &amp; "Toxicologist comment: " &amp; 'SDS Analysis'!#REF!, "")</f>
        <v>#REF!</v>
      </c>
      <c r="H10" s="12" t="e">
        <f>'SDS Analysis'!#REF!</f>
        <v>#REF!</v>
      </c>
      <c r="I10" s="11" t="e">
        <f>'SDS Analysis'!#REF!</f>
        <v>#REF!</v>
      </c>
      <c r="J10" s="12" t="e">
        <f>'SDS Analysis'!#REF!</f>
        <v>#REF!</v>
      </c>
    </row>
    <row r="11" spans="1:10" x14ac:dyDescent="0.25">
      <c r="A11" s="10">
        <f>ROW()-2</f>
        <v>9</v>
      </c>
      <c r="B11" s="11" t="e">
        <f>'SDS Analysis'!#REF!</f>
        <v>#REF!</v>
      </c>
      <c r="C11" s="11" t="e">
        <f>'SDS Analysis'!#REF!</f>
        <v>#REF!</v>
      </c>
      <c r="D11" s="11" t="e">
        <f>'SDS Analysis'!#REF!</f>
        <v>#REF!</v>
      </c>
      <c r="E11" s="13" t="e">
        <f>'SDS Analysis'!#REF!</f>
        <v>#REF!</v>
      </c>
      <c r="F11" s="5" t="e">
        <f>'SDS Analysis'!#REF!</f>
        <v>#REF!</v>
      </c>
      <c r="G11" s="6" t="e">
        <f>'SDS Analysis'!#REF! &amp; IF('SDS Analysis'!#REF!&lt;&gt;"", CHAR(10) &amp; CHAR(10) &amp; "Toxicologist comment: " &amp; 'SDS Analysis'!#REF!, "")</f>
        <v>#REF!</v>
      </c>
      <c r="H11" s="12" t="e">
        <f>'SDS Analysis'!#REF!</f>
        <v>#REF!</v>
      </c>
      <c r="I11" s="11" t="e">
        <f>'SDS Analysis'!#REF!</f>
        <v>#REF!</v>
      </c>
      <c r="J11" s="12" t="e">
        <f>'SDS Analysis'!#REF!</f>
        <v>#REF!</v>
      </c>
    </row>
    <row r="12" spans="1:10" x14ac:dyDescent="0.25">
      <c r="A12" s="10">
        <f t="shared" ref="A12:A25" si="1">ROW()-2</f>
        <v>10</v>
      </c>
      <c r="B12" s="11" t="e">
        <f>'SDS Analysis'!#REF!</f>
        <v>#REF!</v>
      </c>
      <c r="C12" s="11" t="e">
        <f>'SDS Analysis'!#REF!</f>
        <v>#REF!</v>
      </c>
      <c r="D12" s="11" t="e">
        <f>'SDS Analysis'!#REF!</f>
        <v>#REF!</v>
      </c>
      <c r="E12" s="13" t="e">
        <f>'SDS Analysis'!#REF!</f>
        <v>#REF!</v>
      </c>
      <c r="F12" s="5" t="e">
        <f>'SDS Analysis'!#REF!</f>
        <v>#REF!</v>
      </c>
      <c r="G12" s="6" t="e">
        <f>'SDS Analysis'!#REF! &amp; IF('SDS Analysis'!#REF!&lt;&gt;"", CHAR(10) &amp; CHAR(10) &amp; "Toxicologist comment: " &amp; 'SDS Analysis'!#REF!, "")</f>
        <v>#REF!</v>
      </c>
      <c r="H12" s="12" t="e">
        <f>'SDS Analysis'!#REF!</f>
        <v>#REF!</v>
      </c>
      <c r="I12" s="11" t="e">
        <f>'SDS Analysis'!#REF!</f>
        <v>#REF!</v>
      </c>
      <c r="J12" s="12" t="e">
        <f>'SDS Analysis'!#REF!</f>
        <v>#REF!</v>
      </c>
    </row>
    <row r="13" spans="1:10" x14ac:dyDescent="0.25">
      <c r="A13" s="10">
        <f t="shared" si="1"/>
        <v>11</v>
      </c>
      <c r="B13" s="11" t="e">
        <f>'SDS Analysis'!#REF!</f>
        <v>#REF!</v>
      </c>
      <c r="C13" s="11" t="e">
        <f>'SDS Analysis'!#REF!</f>
        <v>#REF!</v>
      </c>
      <c r="D13" s="11" t="e">
        <f>'SDS Analysis'!#REF!</f>
        <v>#REF!</v>
      </c>
      <c r="E13" s="13" t="e">
        <f>'SDS Analysis'!#REF!</f>
        <v>#REF!</v>
      </c>
      <c r="F13" s="5" t="e">
        <f>'SDS Analysis'!#REF!</f>
        <v>#REF!</v>
      </c>
      <c r="G13" s="6" t="e">
        <f>'SDS Analysis'!#REF! &amp; IF('SDS Analysis'!#REF!&lt;&gt;"", CHAR(10) &amp; CHAR(10) &amp; "Toxicologist comment: " &amp; 'SDS Analysis'!#REF!, "")</f>
        <v>#REF!</v>
      </c>
      <c r="H13" s="12" t="e">
        <f>'SDS Analysis'!#REF!</f>
        <v>#REF!</v>
      </c>
      <c r="I13" s="11" t="e">
        <f>'SDS Analysis'!#REF!</f>
        <v>#REF!</v>
      </c>
      <c r="J13" s="12" t="e">
        <f>'SDS Analysis'!#REF!</f>
        <v>#REF!</v>
      </c>
    </row>
    <row r="14" spans="1:10" x14ac:dyDescent="0.25">
      <c r="A14" s="10">
        <f t="shared" si="1"/>
        <v>12</v>
      </c>
      <c r="B14" s="11" t="e">
        <f>'SDS Analysis'!#REF!</f>
        <v>#REF!</v>
      </c>
      <c r="C14" s="11" t="e">
        <f>'SDS Analysis'!#REF!</f>
        <v>#REF!</v>
      </c>
      <c r="D14" s="11" t="e">
        <f>'SDS Analysis'!#REF!</f>
        <v>#REF!</v>
      </c>
      <c r="E14" s="13" t="e">
        <f>'SDS Analysis'!#REF!</f>
        <v>#REF!</v>
      </c>
      <c r="F14" s="5" t="e">
        <f>'SDS Analysis'!#REF!</f>
        <v>#REF!</v>
      </c>
      <c r="G14" s="6" t="e">
        <f>'SDS Analysis'!#REF! &amp; IF('SDS Analysis'!#REF!&lt;&gt;"", CHAR(10) &amp; CHAR(10) &amp; "Toxicologist comment: " &amp; 'SDS Analysis'!#REF!, "")</f>
        <v>#REF!</v>
      </c>
      <c r="H14" s="12" t="e">
        <f>'SDS Analysis'!#REF!</f>
        <v>#REF!</v>
      </c>
      <c r="I14" s="11" t="e">
        <f>'SDS Analysis'!#REF!</f>
        <v>#REF!</v>
      </c>
      <c r="J14" s="12" t="e">
        <f>'SDS Analysis'!#REF!</f>
        <v>#REF!</v>
      </c>
    </row>
    <row r="15" spans="1:10" x14ac:dyDescent="0.25">
      <c r="A15" s="10">
        <f t="shared" si="1"/>
        <v>13</v>
      </c>
      <c r="B15" s="11" t="e">
        <f>'SDS Analysis'!#REF!</f>
        <v>#REF!</v>
      </c>
      <c r="C15" s="11" t="e">
        <f>'SDS Analysis'!#REF!</f>
        <v>#REF!</v>
      </c>
      <c r="D15" s="11" t="e">
        <f>'SDS Analysis'!#REF!</f>
        <v>#REF!</v>
      </c>
      <c r="E15" s="13" t="e">
        <f>'SDS Analysis'!#REF!</f>
        <v>#REF!</v>
      </c>
      <c r="F15" s="5" t="e">
        <f>'SDS Analysis'!#REF!</f>
        <v>#REF!</v>
      </c>
      <c r="G15" s="6" t="e">
        <f>'SDS Analysis'!#REF! &amp; IF('SDS Analysis'!#REF!&lt;&gt;"", CHAR(10) &amp; CHAR(10) &amp; "Toxicologist comment: " &amp; 'SDS Analysis'!#REF!, "")</f>
        <v>#REF!</v>
      </c>
      <c r="H15" s="12" t="e">
        <f>'SDS Analysis'!#REF!</f>
        <v>#REF!</v>
      </c>
      <c r="I15" s="11" t="e">
        <f>'SDS Analysis'!#REF!</f>
        <v>#REF!</v>
      </c>
      <c r="J15" s="12" t="e">
        <f>'SDS Analysis'!#REF!</f>
        <v>#REF!</v>
      </c>
    </row>
    <row r="16" spans="1:10" x14ac:dyDescent="0.25">
      <c r="A16" s="10">
        <f t="shared" si="1"/>
        <v>14</v>
      </c>
      <c r="B16" s="11" t="e">
        <f>'SDS Analysis'!#REF!</f>
        <v>#REF!</v>
      </c>
      <c r="C16" s="11" t="e">
        <f>'SDS Analysis'!#REF!</f>
        <v>#REF!</v>
      </c>
      <c r="D16" s="11" t="e">
        <f>'SDS Analysis'!#REF!</f>
        <v>#REF!</v>
      </c>
      <c r="E16" s="13" t="e">
        <f>'SDS Analysis'!#REF!</f>
        <v>#REF!</v>
      </c>
      <c r="F16" s="5" t="e">
        <f>'SDS Analysis'!#REF!</f>
        <v>#REF!</v>
      </c>
      <c r="G16" s="6" t="e">
        <f>'SDS Analysis'!#REF! &amp; IF('SDS Analysis'!#REF!&lt;&gt;"", CHAR(10) &amp; CHAR(10) &amp; "Toxicologist comment: " &amp; 'SDS Analysis'!#REF!, "")</f>
        <v>#REF!</v>
      </c>
      <c r="H16" s="12" t="e">
        <f>'SDS Analysis'!#REF!</f>
        <v>#REF!</v>
      </c>
      <c r="I16" s="11" t="e">
        <f>'SDS Analysis'!#REF!</f>
        <v>#REF!</v>
      </c>
      <c r="J16" s="12" t="e">
        <f>'SDS Analysis'!#REF!</f>
        <v>#REF!</v>
      </c>
    </row>
    <row r="17" spans="1:10" x14ac:dyDescent="0.25">
      <c r="A17" s="10">
        <f t="shared" si="1"/>
        <v>15</v>
      </c>
      <c r="B17" s="11" t="e">
        <f>'SDS Analysis'!#REF!</f>
        <v>#REF!</v>
      </c>
      <c r="C17" s="11" t="e">
        <f>'SDS Analysis'!#REF!</f>
        <v>#REF!</v>
      </c>
      <c r="D17" s="11" t="e">
        <f>'SDS Analysis'!#REF!</f>
        <v>#REF!</v>
      </c>
      <c r="E17" s="13" t="e">
        <f>'SDS Analysis'!#REF!</f>
        <v>#REF!</v>
      </c>
      <c r="F17" s="5" t="e">
        <f>'SDS Analysis'!#REF!</f>
        <v>#REF!</v>
      </c>
      <c r="G17" s="6" t="e">
        <f>'SDS Analysis'!#REF! &amp; IF('SDS Analysis'!#REF!&lt;&gt;"", CHAR(10) &amp; CHAR(10) &amp; "Toxicologist comment: " &amp; 'SDS Analysis'!#REF!, "")</f>
        <v>#REF!</v>
      </c>
      <c r="H17" s="12" t="e">
        <f>'SDS Analysis'!#REF!</f>
        <v>#REF!</v>
      </c>
      <c r="I17" s="11" t="e">
        <f>'SDS Analysis'!#REF!</f>
        <v>#REF!</v>
      </c>
      <c r="J17" s="12" t="e">
        <f>'SDS Analysis'!#REF!</f>
        <v>#REF!</v>
      </c>
    </row>
    <row r="18" spans="1:10" x14ac:dyDescent="0.25">
      <c r="A18" s="10">
        <f t="shared" si="1"/>
        <v>16</v>
      </c>
      <c r="B18" s="11" t="e">
        <f>'SDS Analysis'!#REF!</f>
        <v>#REF!</v>
      </c>
      <c r="C18" s="11" t="e">
        <f>'SDS Analysis'!#REF!</f>
        <v>#REF!</v>
      </c>
      <c r="D18" s="11" t="e">
        <f>'SDS Analysis'!#REF!</f>
        <v>#REF!</v>
      </c>
      <c r="E18" s="13" t="e">
        <f>'SDS Analysis'!#REF!</f>
        <v>#REF!</v>
      </c>
      <c r="F18" s="5" t="e">
        <f>'SDS Analysis'!#REF!</f>
        <v>#REF!</v>
      </c>
      <c r="G18" s="6" t="e">
        <f>'SDS Analysis'!#REF! &amp; IF('SDS Analysis'!#REF!&lt;&gt;"", CHAR(10) &amp; CHAR(10) &amp; "Toxicologist comment: " &amp; 'SDS Analysis'!#REF!, "")</f>
        <v>#REF!</v>
      </c>
      <c r="H18" s="12" t="e">
        <f>'SDS Analysis'!#REF!</f>
        <v>#REF!</v>
      </c>
      <c r="I18" s="11" t="e">
        <f>'SDS Analysis'!#REF!</f>
        <v>#REF!</v>
      </c>
      <c r="J18" s="12" t="e">
        <f>'SDS Analysis'!#REF!</f>
        <v>#REF!</v>
      </c>
    </row>
    <row r="19" spans="1:10" x14ac:dyDescent="0.25">
      <c r="A19" s="10">
        <f t="shared" si="1"/>
        <v>17</v>
      </c>
      <c r="B19" s="11" t="e">
        <f>'SDS Analysis'!#REF!</f>
        <v>#REF!</v>
      </c>
      <c r="C19" s="11" t="e">
        <f>'SDS Analysis'!#REF!</f>
        <v>#REF!</v>
      </c>
      <c r="D19" s="11" t="e">
        <f>'SDS Analysis'!#REF!</f>
        <v>#REF!</v>
      </c>
      <c r="E19" s="13" t="e">
        <f>'SDS Analysis'!#REF!</f>
        <v>#REF!</v>
      </c>
      <c r="F19" s="5" t="e">
        <f>'SDS Analysis'!#REF!</f>
        <v>#REF!</v>
      </c>
      <c r="G19" s="6" t="e">
        <f>'SDS Analysis'!#REF! &amp; IF('SDS Analysis'!#REF!&lt;&gt;"", CHAR(10) &amp; CHAR(10) &amp; "Toxicologist comment: " &amp; 'SDS Analysis'!#REF!, "")</f>
        <v>#REF!</v>
      </c>
      <c r="H19" s="12" t="e">
        <f>'SDS Analysis'!#REF!</f>
        <v>#REF!</v>
      </c>
      <c r="I19" s="11" t="e">
        <f>'SDS Analysis'!#REF!</f>
        <v>#REF!</v>
      </c>
      <c r="J19" s="12" t="e">
        <f>'SDS Analysis'!#REF!</f>
        <v>#REF!</v>
      </c>
    </row>
    <row r="20" spans="1:10" x14ac:dyDescent="0.25">
      <c r="A20" s="10">
        <f t="shared" si="1"/>
        <v>18</v>
      </c>
      <c r="B20" s="11" t="e">
        <f>'SDS Analysis'!#REF!</f>
        <v>#REF!</v>
      </c>
      <c r="C20" s="11" t="e">
        <f>'SDS Analysis'!#REF!</f>
        <v>#REF!</v>
      </c>
      <c r="D20" s="11" t="e">
        <f>'SDS Analysis'!#REF!</f>
        <v>#REF!</v>
      </c>
      <c r="E20" s="13" t="e">
        <f>'SDS Analysis'!#REF!</f>
        <v>#REF!</v>
      </c>
      <c r="F20" s="5" t="e">
        <f>'SDS Analysis'!#REF!</f>
        <v>#REF!</v>
      </c>
      <c r="G20" s="6" t="e">
        <f>'SDS Analysis'!#REF! &amp; IF('SDS Analysis'!#REF!&lt;&gt;"", CHAR(10) &amp; CHAR(10) &amp; "Toxicologist comment: " &amp; 'SDS Analysis'!#REF!, "")</f>
        <v>#REF!</v>
      </c>
      <c r="H20" s="12" t="e">
        <f>'SDS Analysis'!#REF!</f>
        <v>#REF!</v>
      </c>
      <c r="I20" s="11" t="e">
        <f>'SDS Analysis'!#REF!</f>
        <v>#REF!</v>
      </c>
      <c r="J20" s="12" t="e">
        <f>'SDS Analysis'!#REF!</f>
        <v>#REF!</v>
      </c>
    </row>
    <row r="21" spans="1:10" x14ac:dyDescent="0.25">
      <c r="A21" s="10">
        <f t="shared" si="1"/>
        <v>19</v>
      </c>
      <c r="B21" s="11" t="e">
        <f>'SDS Analysis'!#REF!</f>
        <v>#REF!</v>
      </c>
      <c r="C21" s="11" t="e">
        <f>'SDS Analysis'!#REF!</f>
        <v>#REF!</v>
      </c>
      <c r="D21" s="11" t="e">
        <f>'SDS Analysis'!#REF!</f>
        <v>#REF!</v>
      </c>
      <c r="E21" s="13" t="e">
        <f>'SDS Analysis'!#REF!</f>
        <v>#REF!</v>
      </c>
      <c r="F21" s="5" t="e">
        <f>'SDS Analysis'!#REF!</f>
        <v>#REF!</v>
      </c>
      <c r="G21" s="6" t="e">
        <f>'SDS Analysis'!#REF! &amp; IF('SDS Analysis'!#REF!&lt;&gt;"", CHAR(10) &amp; CHAR(10) &amp; "Toxicologist comment: " &amp; 'SDS Analysis'!#REF!, "")</f>
        <v>#REF!</v>
      </c>
      <c r="H21" s="12" t="e">
        <f>'SDS Analysis'!#REF!</f>
        <v>#REF!</v>
      </c>
      <c r="I21" s="11" t="e">
        <f>'SDS Analysis'!#REF!</f>
        <v>#REF!</v>
      </c>
      <c r="J21" s="12" t="e">
        <f>'SDS Analysis'!#REF!</f>
        <v>#REF!</v>
      </c>
    </row>
    <row r="22" spans="1:10" x14ac:dyDescent="0.25">
      <c r="A22" s="10">
        <f t="shared" si="1"/>
        <v>20</v>
      </c>
      <c r="B22" s="11" t="e">
        <f>'SDS Analysis'!#REF!</f>
        <v>#REF!</v>
      </c>
      <c r="C22" s="11" t="e">
        <f>'SDS Analysis'!#REF!</f>
        <v>#REF!</v>
      </c>
      <c r="D22" s="11" t="e">
        <f>'SDS Analysis'!#REF!</f>
        <v>#REF!</v>
      </c>
      <c r="E22" s="13" t="e">
        <f>'SDS Analysis'!#REF!</f>
        <v>#REF!</v>
      </c>
      <c r="F22" s="5" t="e">
        <f>'SDS Analysis'!#REF!</f>
        <v>#REF!</v>
      </c>
      <c r="G22" s="6" t="e">
        <f>'SDS Analysis'!#REF! &amp; IF('SDS Analysis'!#REF!&lt;&gt;"", CHAR(10) &amp; CHAR(10) &amp; "Toxicologist comment: " &amp; 'SDS Analysis'!#REF!, "")</f>
        <v>#REF!</v>
      </c>
      <c r="H22" s="12" t="e">
        <f>'SDS Analysis'!#REF!</f>
        <v>#REF!</v>
      </c>
      <c r="I22" s="11" t="e">
        <f>'SDS Analysis'!#REF!</f>
        <v>#REF!</v>
      </c>
      <c r="J22" s="12" t="e">
        <f>'SDS Analysis'!#REF!</f>
        <v>#REF!</v>
      </c>
    </row>
    <row r="23" spans="1:10" x14ac:dyDescent="0.25">
      <c r="A23" s="10">
        <f t="shared" si="1"/>
        <v>21</v>
      </c>
      <c r="B23" s="11" t="e">
        <f>'SDS Analysis'!#REF!</f>
        <v>#REF!</v>
      </c>
      <c r="C23" s="11" t="e">
        <f>'SDS Analysis'!#REF!</f>
        <v>#REF!</v>
      </c>
      <c r="D23" s="11" t="e">
        <f>'SDS Analysis'!#REF!</f>
        <v>#REF!</v>
      </c>
      <c r="E23" s="13" t="e">
        <f>'SDS Analysis'!#REF!</f>
        <v>#REF!</v>
      </c>
      <c r="F23" s="5" t="e">
        <f>'SDS Analysis'!#REF!</f>
        <v>#REF!</v>
      </c>
      <c r="G23" s="6" t="e">
        <f>'SDS Analysis'!#REF! &amp; IF('SDS Analysis'!#REF!&lt;&gt;"", CHAR(10) &amp; CHAR(10) &amp; "Toxicologist comment: " &amp; 'SDS Analysis'!#REF!, "")</f>
        <v>#REF!</v>
      </c>
      <c r="H23" s="12" t="e">
        <f>'SDS Analysis'!#REF!</f>
        <v>#REF!</v>
      </c>
      <c r="I23" s="11" t="e">
        <f>'SDS Analysis'!#REF!</f>
        <v>#REF!</v>
      </c>
      <c r="J23" s="12" t="e">
        <f>'SDS Analysis'!#REF!</f>
        <v>#REF!</v>
      </c>
    </row>
    <row r="24" spans="1:10" x14ac:dyDescent="0.25">
      <c r="A24" s="10">
        <f t="shared" si="1"/>
        <v>22</v>
      </c>
      <c r="B24" s="11" t="e">
        <f>'SDS Analysis'!#REF!</f>
        <v>#REF!</v>
      </c>
      <c r="C24" s="11" t="e">
        <f>'SDS Analysis'!#REF!</f>
        <v>#REF!</v>
      </c>
      <c r="D24" s="11" t="e">
        <f>'SDS Analysis'!#REF!</f>
        <v>#REF!</v>
      </c>
      <c r="E24" s="13" t="e">
        <f>'SDS Analysis'!#REF!</f>
        <v>#REF!</v>
      </c>
      <c r="F24" s="5" t="e">
        <f>'SDS Analysis'!#REF!</f>
        <v>#REF!</v>
      </c>
      <c r="G24" s="6" t="e">
        <f>'SDS Analysis'!#REF! &amp; IF('SDS Analysis'!#REF!&lt;&gt;"", CHAR(10) &amp; CHAR(10) &amp; "Toxicologist comment: " &amp; 'SDS Analysis'!#REF!, "")</f>
        <v>#REF!</v>
      </c>
      <c r="H24" s="12" t="e">
        <f>'SDS Analysis'!#REF!</f>
        <v>#REF!</v>
      </c>
      <c r="I24" s="11" t="e">
        <f>'SDS Analysis'!#REF!</f>
        <v>#REF!</v>
      </c>
      <c r="J24" s="12" t="e">
        <f>'SDS Analysis'!#REF!</f>
        <v>#REF!</v>
      </c>
    </row>
    <row r="25" spans="1:10" x14ac:dyDescent="0.25">
      <c r="A25" s="10">
        <f t="shared" si="1"/>
        <v>23</v>
      </c>
      <c r="B25" s="11" t="e">
        <f>'SDS Analysis'!#REF!</f>
        <v>#REF!</v>
      </c>
      <c r="C25" s="11" t="e">
        <f>'SDS Analysis'!#REF!</f>
        <v>#REF!</v>
      </c>
      <c r="D25" s="11" t="e">
        <f>'SDS Analysis'!#REF!</f>
        <v>#REF!</v>
      </c>
      <c r="E25" s="13" t="e">
        <f>'SDS Analysis'!#REF!</f>
        <v>#REF!</v>
      </c>
      <c r="F25" s="5" t="e">
        <f>'SDS Analysis'!#REF!</f>
        <v>#REF!</v>
      </c>
      <c r="G25" s="6" t="e">
        <f>'SDS Analysis'!#REF! &amp; IF('SDS Analysis'!#REF!&lt;&gt;"", CHAR(10) &amp; CHAR(10) &amp; "Toxicologist comment: " &amp; 'SDS Analysis'!#REF!, "")</f>
        <v>#REF!</v>
      </c>
      <c r="H25" s="12" t="e">
        <f>'SDS Analysis'!#REF!</f>
        <v>#REF!</v>
      </c>
      <c r="I25" s="11" t="e">
        <f>'SDS Analysis'!#REF!</f>
        <v>#REF!</v>
      </c>
      <c r="J25" s="12" t="e">
        <f>'SDS Analysis'!#REF!</f>
        <v>#REF!</v>
      </c>
    </row>
    <row r="26" spans="1:10" x14ac:dyDescent="0.25">
      <c r="B26" s="5"/>
      <c r="C26" s="5"/>
      <c r="D26" s="5"/>
      <c r="E26" s="6"/>
      <c r="F26" s="5"/>
      <c r="G26" s="5"/>
      <c r="H26" s="6"/>
      <c r="I26" s="5"/>
      <c r="J26" s="6"/>
    </row>
    <row r="27" spans="1:10" x14ac:dyDescent="0.25">
      <c r="B27" s="5"/>
      <c r="C27" s="5"/>
      <c r="D27" s="5"/>
      <c r="E27" s="6"/>
      <c r="F27" s="5"/>
      <c r="G27" s="5"/>
      <c r="H27" s="6"/>
      <c r="I27" s="5"/>
      <c r="J27" s="6"/>
    </row>
    <row r="28" spans="1:10" x14ac:dyDescent="0.25">
      <c r="B28" s="5"/>
      <c r="C28" s="5"/>
      <c r="D28" s="5"/>
      <c r="E28" s="6"/>
      <c r="F28" s="5"/>
      <c r="G28" s="5"/>
      <c r="H28" s="6"/>
      <c r="I28" s="5"/>
      <c r="J28" s="6"/>
    </row>
    <row r="29" spans="1:10" x14ac:dyDescent="0.25">
      <c r="B29" s="5"/>
      <c r="C29" s="5"/>
      <c r="D29" s="5"/>
      <c r="E29" s="6"/>
      <c r="F29" s="5"/>
      <c r="G29" s="5"/>
      <c r="H29" s="6"/>
      <c r="I29" s="5"/>
      <c r="J29" s="6"/>
    </row>
    <row r="30" spans="1:10" x14ac:dyDescent="0.25">
      <c r="B30" s="5"/>
      <c r="C30" s="5"/>
      <c r="D30" s="5"/>
      <c r="E30" s="6"/>
      <c r="F30" s="5"/>
      <c r="G30" s="5"/>
      <c r="H30" s="6"/>
      <c r="I30" s="5"/>
      <c r="J30" s="6"/>
    </row>
    <row r="31" spans="1:10" x14ac:dyDescent="0.25">
      <c r="B31" s="5"/>
      <c r="C31" s="5"/>
      <c r="D31" s="5"/>
      <c r="E31" s="6"/>
      <c r="F31" s="5"/>
      <c r="G31" s="5"/>
      <c r="H31" s="6"/>
      <c r="I31" s="5"/>
      <c r="J31" s="6"/>
    </row>
    <row r="32" spans="1:10" x14ac:dyDescent="0.25">
      <c r="B32" s="5"/>
      <c r="C32" s="5"/>
      <c r="D32" s="5"/>
      <c r="E32" s="6"/>
      <c r="F32" s="5"/>
      <c r="G32" s="5"/>
      <c r="H32" s="6"/>
      <c r="I32" s="5"/>
      <c r="J32" s="6"/>
    </row>
    <row r="33" spans="2:10" x14ac:dyDescent="0.25">
      <c r="B33" s="5"/>
      <c r="C33" s="5"/>
      <c r="D33" s="5"/>
      <c r="E33" s="6"/>
      <c r="F33" s="5"/>
      <c r="G33" s="5"/>
      <c r="H33" s="6"/>
      <c r="I33" s="5"/>
      <c r="J33" s="6"/>
    </row>
    <row r="34" spans="2:10" x14ac:dyDescent="0.25">
      <c r="B34" s="5"/>
      <c r="C34" s="5"/>
      <c r="D34" s="5"/>
      <c r="E34" s="6"/>
      <c r="F34" s="5"/>
      <c r="G34" s="5"/>
      <c r="H34" s="6"/>
      <c r="I34" s="5"/>
      <c r="J34" s="6"/>
    </row>
    <row r="35" spans="2:10" x14ac:dyDescent="0.25">
      <c r="B35" s="5"/>
      <c r="C35" s="5"/>
      <c r="D35" s="5"/>
      <c r="E35" s="6"/>
      <c r="F35" s="5"/>
      <c r="G35" s="5"/>
      <c r="H35" s="6"/>
      <c r="I35" s="5"/>
      <c r="J35" s="6"/>
    </row>
    <row r="36" spans="2:10" x14ac:dyDescent="0.25">
      <c r="B36" s="5"/>
      <c r="C36" s="5"/>
      <c r="D36" s="5"/>
      <c r="E36" s="6"/>
      <c r="F36" s="5"/>
      <c r="G36" s="5"/>
      <c r="H36" s="6"/>
      <c r="I36" s="5"/>
      <c r="J36" s="6"/>
    </row>
    <row r="37" spans="2:10" x14ac:dyDescent="0.25">
      <c r="B37" s="5"/>
      <c r="C37" s="5"/>
      <c r="D37" s="5"/>
      <c r="E37" s="6"/>
      <c r="F37" s="5"/>
      <c r="G37" s="5"/>
      <c r="H37" s="6"/>
      <c r="I37" s="5"/>
      <c r="J37" s="6"/>
    </row>
    <row r="38" spans="2:10" x14ac:dyDescent="0.25">
      <c r="B38" s="5"/>
      <c r="C38" s="5"/>
      <c r="D38" s="5"/>
      <c r="E38" s="6"/>
      <c r="F38" s="5"/>
      <c r="G38" s="5"/>
      <c r="H38" s="6"/>
      <c r="I38" s="5"/>
      <c r="J38" s="6"/>
    </row>
    <row r="39" spans="2:10" x14ac:dyDescent="0.25">
      <c r="B39" s="5"/>
      <c r="C39" s="5"/>
      <c r="D39" s="5"/>
      <c r="E39" s="6"/>
      <c r="F39" s="5"/>
      <c r="G39" s="5"/>
      <c r="H39" s="6"/>
      <c r="I39" s="5"/>
      <c r="J39" s="6"/>
    </row>
    <row r="40" spans="2:10" x14ac:dyDescent="0.25">
      <c r="B40" s="5"/>
      <c r="C40" s="5"/>
      <c r="D40" s="5"/>
      <c r="E40" s="6"/>
      <c r="F40" s="5"/>
      <c r="G40" s="5"/>
      <c r="H40" s="6"/>
      <c r="I40" s="5"/>
      <c r="J40" s="6"/>
    </row>
    <row r="41" spans="2:10" x14ac:dyDescent="0.25">
      <c r="B41" s="5"/>
      <c r="C41" s="5"/>
      <c r="D41" s="5"/>
      <c r="E41" s="6"/>
      <c r="F41" s="5"/>
      <c r="G41" s="5"/>
      <c r="H41" s="6"/>
      <c r="I41" s="5"/>
      <c r="J41" s="6"/>
    </row>
  </sheetData>
  <conditionalFormatting sqref="E3:E25">
    <cfRule type="containsText" dxfId="6" priority="1" operator="containsText" text="To verify">
      <formula>NOT(ISERROR(SEARCH("To verify",E3)))</formula>
    </cfRule>
    <cfRule type="expression" dxfId="5" priority="2">
      <formula>AND(E3&lt;&gt;"",E3&lt;TODAY()-1095)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37CB4347-0B6A-4D82-8FDC-1DC821757F71}">
            <xm:f>#REF!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" operator="equal" id="{F161F575-385B-4E17-9749-BA3A7E1F1A13}">
            <xm:f>#REF!</xm:f>
            <x14:dxf>
              <font>
                <b/>
                <i val="0"/>
                <color theme="0"/>
              </font>
              <fill>
                <patternFill>
                  <bgColor rgb="FFFF8C00"/>
                </patternFill>
              </fill>
            </x14:dxf>
          </x14:cfRule>
          <x14:cfRule type="cellIs" priority="8" operator="equal" id="{494E8ED7-9A79-47CA-92CD-AAAE79F3257E}">
            <xm:f>#REF!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ellIs" priority="9" operator="equal" id="{BC485077-7DBC-4826-BA09-1EA601EB36FF}">
            <xm:f>#REF!</xm:f>
            <x14:dxf>
              <font>
                <b val="0"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" operator="equal" id="{112338C1-3538-4203-8C51-7F302F5ED979}">
            <xm:f>#REF!</xm:f>
            <x14:dxf>
              <font>
                <color theme="0"/>
              </font>
              <fill>
                <patternFill>
                  <bgColor rgb="FF808080"/>
                </patternFill>
              </fill>
            </x14:dxf>
          </x14:cfRule>
          <xm:sqref>F3:F25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4A4B-A2AD-4104-BA47-274F409904EE}">
  <sheetPr>
    <tabColor rgb="FF007AFF"/>
  </sheetPr>
  <dimension ref="A1:AH3"/>
  <sheetViews>
    <sheetView zoomScale="130" zoomScaleNormal="13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D2" sqref="AD1:AD1048576"/>
    </sheetView>
  </sheetViews>
  <sheetFormatPr baseColWidth="10" defaultColWidth="9.140625" defaultRowHeight="14.25" x14ac:dyDescent="0.25"/>
  <cols>
    <col min="1" max="1" width="15.42578125" style="5" customWidth="1"/>
    <col min="2" max="2" width="21.7109375" style="5" customWidth="1"/>
    <col min="3" max="3" width="10.5703125" style="5" customWidth="1"/>
    <col min="4" max="4" width="20.42578125" style="5" customWidth="1"/>
    <col min="5" max="5" width="49" style="5" customWidth="1"/>
    <col min="6" max="17" width="49.7109375" style="5" customWidth="1"/>
    <col min="18" max="21" width="32.140625" style="5" customWidth="1"/>
    <col min="22" max="24" width="49.5703125" style="5" customWidth="1"/>
    <col min="25" max="26" width="28.5703125" style="5" customWidth="1"/>
    <col min="27" max="27" width="49.5703125" style="5" customWidth="1"/>
    <col min="28" max="28" width="10.85546875" style="5" customWidth="1"/>
    <col min="29" max="29" width="94.42578125" style="5" customWidth="1"/>
    <col min="30" max="30" width="46.28515625" style="5" bestFit="1" customWidth="1"/>
    <col min="31" max="31" width="16.140625" style="5" customWidth="1"/>
    <col min="32" max="34" width="11.140625" style="5" customWidth="1"/>
    <col min="35" max="16384" width="9.140625" style="5"/>
  </cols>
  <sheetData>
    <row r="1" spans="1:34" s="9" customFormat="1" ht="16.5" x14ac:dyDescent="0.25">
      <c r="A1" s="15" t="s">
        <v>0</v>
      </c>
      <c r="B1" s="15"/>
      <c r="C1" s="15"/>
      <c r="D1" s="15"/>
      <c r="E1" s="8" t="s">
        <v>1</v>
      </c>
      <c r="F1" s="15" t="s">
        <v>2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 t="s">
        <v>3</v>
      </c>
      <c r="X1" s="15"/>
      <c r="Y1" s="15"/>
      <c r="Z1" s="15"/>
      <c r="AA1" s="17"/>
      <c r="AB1" s="16" t="s">
        <v>4</v>
      </c>
      <c r="AC1" s="15"/>
      <c r="AD1" s="17"/>
      <c r="AE1" s="14"/>
      <c r="AF1" s="16" t="s">
        <v>5</v>
      </c>
      <c r="AG1" s="15"/>
      <c r="AH1" s="17"/>
    </row>
    <row r="2" spans="1:34" s="2" customFormat="1" ht="115.5" x14ac:dyDescent="0.2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42</v>
      </c>
      <c r="AF2" s="7" t="s">
        <v>36</v>
      </c>
      <c r="AG2" s="7" t="s">
        <v>37</v>
      </c>
      <c r="AH2" s="7" t="s">
        <v>38</v>
      </c>
    </row>
    <row r="3" spans="1:34" x14ac:dyDescent="0.25">
      <c r="A3" s="11"/>
      <c r="B3" s="11"/>
      <c r="C3" s="11"/>
      <c r="D3" s="13"/>
      <c r="W3" s="11"/>
      <c r="X3" s="11"/>
      <c r="Y3" s="11"/>
      <c r="Z3" s="11"/>
      <c r="AA3" s="11"/>
      <c r="AF3" s="12"/>
      <c r="AG3" s="11"/>
      <c r="AH3" s="11"/>
    </row>
  </sheetData>
  <mergeCells count="5">
    <mergeCell ref="A1:D1"/>
    <mergeCell ref="F1:V1"/>
    <mergeCell ref="W1:AA1"/>
    <mergeCell ref="AB1:AD1"/>
    <mergeCell ref="AF1:AH1"/>
  </mergeCells>
  <conditionalFormatting sqref="A3:AH3">
    <cfRule type="containsText" dxfId="19" priority="7" operator="containsText" text="To verify">
      <formula>NOT(ISERROR(SEARCH("To verify",A3)))</formula>
    </cfRule>
  </conditionalFormatting>
  <conditionalFormatting sqref="D3:D9972">
    <cfRule type="expression" dxfId="18" priority="8">
      <formula>AND(D3&lt;&gt;"",D3&lt;TODAY()-1095)</formula>
    </cfRule>
  </conditionalFormatting>
  <conditionalFormatting sqref="AG3">
    <cfRule type="expression" dxfId="7" priority="19">
      <formula>$AG3="AI - SDS Screening agent only"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equal" id="{CE4269E9-E4BB-4FC7-807E-60EB3E87AFE1}">
            <xm:f>#REF!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" operator="equal" id="{E9052E88-7484-4FBF-9477-8701C40123EE}">
            <xm:f>#REF!</xm:f>
            <x14:dxf>
              <font>
                <b/>
                <i val="0"/>
                <color theme="0"/>
              </font>
              <fill>
                <patternFill>
                  <bgColor rgb="FFFF8C00"/>
                </patternFill>
              </fill>
            </x14:dxf>
          </x14:cfRule>
          <x14:cfRule type="cellIs" priority="13" operator="equal" id="{7E0C9719-491A-4FC8-ACC5-DA40C2FE87A7}">
            <xm:f>#REF!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ellIs" priority="14" operator="equal" id="{63DBB6DE-6758-4D95-8F7F-52F76E1B3387}">
            <xm:f>#REF!</xm:f>
            <x14:dxf>
              <font>
                <b val="0"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5" operator="equal" id="{6BBCD00F-363B-4C89-B4B9-7FB5E4E6618C}">
            <xm:f>#REF!</xm:f>
            <x14:dxf>
              <font>
                <color theme="0"/>
              </font>
              <fill>
                <patternFill>
                  <bgColor rgb="FF808080"/>
                </patternFill>
              </fill>
            </x14:dxf>
          </x14:cfRule>
          <xm:sqref>AB3:AB9972</xm:sqref>
        </x14:conditionalFormatting>
        <x14:conditionalFormatting xmlns:xm="http://schemas.microsoft.com/office/excel/2006/main">
          <x14:cfRule type="cellIs" priority="1" operator="equal" id="{734E0A5B-8724-4114-BEC2-760000887C01}">
            <xm:f>#REF!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" operator="equal" id="{F7C48DA3-F655-4645-9207-722D74A9F34D}">
            <xm:f>#REF!</xm:f>
            <x14:dxf>
              <font>
                <b/>
                <i val="0"/>
                <color theme="0"/>
              </font>
              <fill>
                <patternFill>
                  <bgColor rgb="FFFF8C00"/>
                </patternFill>
              </fill>
            </x14:dxf>
          </x14:cfRule>
          <x14:cfRule type="cellIs" priority="3" operator="equal" id="{610E3A15-F03A-4F6F-B4DD-3BD8F26601A2}">
            <xm:f>#REF!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14:cfRule type="cellIs" priority="4" operator="equal" id="{E2E3F48E-5C49-4DE8-A672-21C5E53A7F0D}">
            <xm:f>#REF!</xm:f>
            <x14:dxf>
              <font>
                <b val="0"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" operator="equal" id="{F628DCCB-89F1-4DA1-ACA8-0073A9251BDE}">
            <xm:f>#REF!</xm:f>
            <x14:dxf>
              <font>
                <color theme="0"/>
              </font>
              <fill>
                <patternFill>
                  <bgColor rgb="FF808080"/>
                </patternFill>
              </fill>
            </x14:dxf>
          </x14:cfRule>
          <xm:sqref>AE3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C95FC-9FB2-4EC5-B20D-2ED52328E677}">
          <x14:formula1>
            <xm:f>#REF!</xm:f>
          </x14:formula1>
          <xm:sqref>AH3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Project</vt:lpstr>
      <vt:lpstr>SDS Dashboard</vt:lpstr>
      <vt:lpstr>SDS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Saudrais</dc:creator>
  <cp:keywords/>
  <dc:description/>
  <cp:lastModifiedBy>Elodie Saudrais</cp:lastModifiedBy>
  <cp:revision/>
  <dcterms:created xsi:type="dcterms:W3CDTF">2026-04-28T08:32:10Z</dcterms:created>
  <dcterms:modified xsi:type="dcterms:W3CDTF">2026-07-14T20:20:20Z</dcterms:modified>
  <cp:category/>
  <cp:contentStatus/>
</cp:coreProperties>
</file>